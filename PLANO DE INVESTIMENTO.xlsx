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 tabRatio="263"/>
  </bookViews>
  <sheets>
    <sheet name="INVESTIMENTOS" sheetId="1" r:id="rId1"/>
    <sheet name="INVESTIMENTOS_APOIO" sheetId="4" r:id="rId2"/>
  </sheets>
  <definedNames>
    <definedName name="aporte">INVESTIMENTOS!$D$20</definedName>
    <definedName name="patrimonio">INVESTIMENTOS!$D$23</definedName>
    <definedName name="qtdAnos">INVESTIMENTOS!$D$21</definedName>
    <definedName name="Rendimento">INVESTIMENTOS!$D$16</definedName>
    <definedName name="salario">INVESTIMENTOS!$D$15</definedName>
    <definedName name="sugestaoInvest">INVESTIMENTOS!$D$17</definedName>
    <definedName name="taxaMensal">INVESTIMENTOS!$D$22</definedName>
  </definedNames>
  <calcPr calcId="124519"/>
</workbook>
</file>

<file path=xl/calcChain.xml><?xml version="1.0" encoding="utf-8"?>
<calcChain xmlns="http://schemas.openxmlformats.org/spreadsheetml/2006/main">
  <c r="C36" i="1"/>
  <c r="A9" i="4"/>
  <c r="A16"/>
  <c r="A17"/>
  <c r="A18"/>
  <c r="A19"/>
  <c r="A20"/>
  <c r="A15"/>
  <c r="A10"/>
  <c r="A11"/>
  <c r="A12"/>
  <c r="A13"/>
  <c r="A14"/>
  <c r="A4"/>
  <c r="A5"/>
  <c r="A6"/>
  <c r="A7"/>
  <c r="A8"/>
  <c r="A3"/>
  <c r="C42" i="1" s="1"/>
  <c r="D23"/>
  <c r="D24" s="1"/>
  <c r="D17"/>
  <c r="C28"/>
  <c r="D28" s="1"/>
  <c r="C29"/>
  <c r="D29" s="1"/>
  <c r="C30"/>
  <c r="D30" s="1"/>
  <c r="C31"/>
  <c r="D31" s="1"/>
  <c r="C27"/>
  <c r="D27" s="1"/>
  <c r="C43" l="1"/>
  <c r="D43" s="1"/>
  <c r="C44"/>
  <c r="D44" s="1"/>
  <c r="C40"/>
  <c r="D40" s="1"/>
  <c r="C39"/>
  <c r="D39" s="1"/>
  <c r="C41"/>
  <c r="D41" s="1"/>
  <c r="D42"/>
  <c r="D45" l="1"/>
</calcChain>
</file>

<file path=xl/sharedStrings.xml><?xml version="1.0" encoding="utf-8"?>
<sst xmlns="http://schemas.openxmlformats.org/spreadsheetml/2006/main" count="69" uniqueCount="34">
  <si>
    <t>Quanto investir por mês?</t>
  </si>
  <si>
    <t>Por Quantos Anos?</t>
  </si>
  <si>
    <t>Taxa de Rendimento Mensal?</t>
  </si>
  <si>
    <t>Patromonio Acumulado?</t>
  </si>
  <si>
    <t>Dividendos Mensais?</t>
  </si>
  <si>
    <t>INVESTIMENTO MENSAL</t>
  </si>
  <si>
    <t>Quanto em 3 anos?</t>
  </si>
  <si>
    <t>Quanto em 7 anos?</t>
  </si>
  <si>
    <t>Quanto em 15 anos?</t>
  </si>
  <si>
    <t>Quanto em 25 anos?</t>
  </si>
  <si>
    <t>Quanto em 30 anos?</t>
  </si>
  <si>
    <t>CENÁRIOS</t>
  </si>
  <si>
    <t>DIVIDENDO</t>
  </si>
  <si>
    <t>CONFIGURAÇÕES</t>
  </si>
  <si>
    <t>Rendimento Carteira</t>
  </si>
  <si>
    <t>Salário</t>
  </si>
  <si>
    <t>Perfil</t>
  </si>
  <si>
    <t>Agressivo</t>
  </si>
  <si>
    <t>Conservador</t>
  </si>
  <si>
    <t>Moderado</t>
  </si>
  <si>
    <t>Valor a ser investido por mês</t>
  </si>
  <si>
    <t>Tipos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</si>
  <si>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</si>
  <si>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</si>
  <si>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</si>
  <si>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</si>
  <si>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</si>
  <si>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</si>
  <si>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</si>
  <si>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</si>
  <si>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Tipo de FII</t>
  </si>
  <si>
    <t>%</t>
  </si>
  <si>
    <t>Chave</t>
  </si>
  <si>
    <r>
      <t>Sugestão de Investimento (</t>
    </r>
    <r>
      <rPr>
        <sz val="12"/>
        <color theme="1"/>
        <rFont val="Cambria"/>
        <family val="1"/>
        <scheme val="major"/>
      </rPr>
      <t>30%</t>
    </r>
    <r>
      <rPr>
        <sz val="12"/>
        <color theme="1"/>
        <rFont val="Californian FB"/>
        <family val="1"/>
      </rPr>
      <t>)</t>
    </r>
  </si>
</sst>
</file>

<file path=xl/styles.xml><?xml version="1.0" encoding="utf-8"?>
<styleSheet xmlns="http://schemas.openxmlformats.org/spreadsheetml/2006/main">
  <numFmts count="2">
    <numFmt numFmtId="8" formatCode="&quot;R$&quot;\ #,##0.00;[Red]\-&quot;R$&quot;\ #,##0.00"/>
    <numFmt numFmtId="164" formatCode="&quot;R$&quot;\ #,##0.00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Bahnschrift SemiLight"/>
      <family val="2"/>
    </font>
    <font>
      <sz val="11"/>
      <color theme="1"/>
      <name val="Californian FB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Bahnschrift SemiLight"/>
      <family val="2"/>
    </font>
    <font>
      <b/>
      <sz val="11"/>
      <color theme="1"/>
      <name val="Bahnschrift SemiLigh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2"/>
      <color theme="1"/>
      <name val="Californian FB"/>
      <family val="1"/>
    </font>
    <font>
      <b/>
      <sz val="12"/>
      <color theme="1"/>
      <name val="Californian FB"/>
      <family val="1"/>
    </font>
    <font>
      <sz val="12"/>
      <color theme="1"/>
      <name val="Cambria"/>
      <family val="1"/>
      <scheme val="major"/>
    </font>
    <font>
      <b/>
      <sz val="14"/>
      <color theme="0"/>
      <name val="Bahnschrift SemiLight"/>
      <family val="2"/>
    </font>
    <font>
      <b/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C4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rgb="FFFFFF00"/>
      </top>
      <bottom/>
      <diagonal/>
    </border>
    <border>
      <left style="thick">
        <color indexed="64"/>
      </left>
      <right style="thin">
        <color theme="0" tint="-0.24994659260841701"/>
      </right>
      <top style="thick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indexed="64"/>
      </right>
      <top style="thick">
        <color indexed="64"/>
      </top>
      <bottom style="thin">
        <color theme="0" tint="-0.24994659260841701"/>
      </bottom>
      <diagonal/>
    </border>
    <border>
      <left style="thick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indexed="64"/>
      </left>
      <right style="thin">
        <color theme="0" tint="-0.24994659260841701"/>
      </right>
      <top style="thin">
        <color theme="0" tint="-0.24994659260841701"/>
      </top>
      <bottom style="thick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indexed="64"/>
      </bottom>
      <diagonal/>
    </border>
    <border>
      <left style="thin">
        <color theme="0" tint="-0.24994659260841701"/>
      </left>
      <right style="thick">
        <color indexed="64"/>
      </right>
      <top style="thin">
        <color theme="0" tint="-0.24994659260841701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theme="0" tint="-0.24994659260841701"/>
      </left>
      <right style="thick">
        <color indexed="64"/>
      </right>
      <top/>
      <bottom style="thin">
        <color theme="0" tint="-0.24994659260841701"/>
      </bottom>
      <diagonal/>
    </border>
    <border>
      <left style="thick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0" fontId="4" fillId="4" borderId="0" applyNumberFormat="0" applyBorder="0" applyAlignment="0" applyProtection="0"/>
  </cellStyleXfs>
  <cellXfs count="71">
    <xf numFmtId="0" fontId="0" fillId="0" borderId="0" xfId="0"/>
    <xf numFmtId="0" fontId="0" fillId="0" borderId="1" xfId="0" applyBorder="1"/>
    <xf numFmtId="0" fontId="5" fillId="0" borderId="0" xfId="0" applyFont="1"/>
    <xf numFmtId="0" fontId="0" fillId="0" borderId="5" xfId="0" applyBorder="1"/>
    <xf numFmtId="0" fontId="0" fillId="0" borderId="8" xfId="0" applyBorder="1"/>
    <xf numFmtId="0" fontId="0" fillId="0" borderId="0" xfId="0" applyNumberFormat="1"/>
    <xf numFmtId="9" fontId="0" fillId="0" borderId="7" xfId="0" applyNumberFormat="1" applyBorder="1" applyAlignment="1">
      <alignment horizontal="center"/>
    </xf>
    <xf numFmtId="8" fontId="8" fillId="3" borderId="3" xfId="0" applyNumberFormat="1" applyFont="1" applyFill="1" applyBorder="1" applyAlignment="1">
      <alignment horizontal="center"/>
    </xf>
    <xf numFmtId="8" fontId="8" fillId="3" borderId="4" xfId="0" applyNumberFormat="1" applyFont="1" applyFill="1" applyBorder="1" applyAlignment="1">
      <alignment horizontal="center"/>
    </xf>
    <xf numFmtId="8" fontId="8" fillId="3" borderId="6" xfId="0" applyNumberFormat="1" applyFont="1" applyFill="1" applyBorder="1" applyAlignment="1">
      <alignment horizontal="center"/>
    </xf>
    <xf numFmtId="8" fontId="8" fillId="3" borderId="7" xfId="0" applyNumberFormat="1" applyFont="1" applyFill="1" applyBorder="1" applyAlignment="1">
      <alignment horizontal="center"/>
    </xf>
    <xf numFmtId="8" fontId="8" fillId="3" borderId="9" xfId="0" applyNumberFormat="1" applyFont="1" applyFill="1" applyBorder="1" applyAlignment="1">
      <alignment horizontal="center"/>
    </xf>
    <xf numFmtId="8" fontId="8" fillId="3" borderId="10" xfId="0" applyNumberFormat="1" applyFont="1" applyFill="1" applyBorder="1" applyAlignment="1">
      <alignment horizontal="center"/>
    </xf>
    <xf numFmtId="0" fontId="10" fillId="3" borderId="2" xfId="0" applyFont="1" applyFill="1" applyBorder="1"/>
    <xf numFmtId="0" fontId="10" fillId="3" borderId="5" xfId="0" applyFont="1" applyFill="1" applyBorder="1"/>
    <xf numFmtId="0" fontId="10" fillId="3" borderId="8" xfId="0" applyFont="1" applyFill="1" applyBorder="1"/>
    <xf numFmtId="9" fontId="8" fillId="0" borderId="7" xfId="0" applyNumberFormat="1" applyFont="1" applyBorder="1" applyAlignment="1">
      <alignment horizontal="center"/>
    </xf>
    <xf numFmtId="0" fontId="2" fillId="2" borderId="13" xfId="0" applyFont="1" applyFill="1" applyBorder="1" applyAlignment="1">
      <alignment horizontal="left" vertical="center"/>
    </xf>
    <xf numFmtId="164" fontId="8" fillId="0" borderId="4" xfId="0" applyNumberFormat="1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10" fontId="8" fillId="0" borderId="7" xfId="0" applyNumberFormat="1" applyFont="1" applyBorder="1" applyAlignment="1">
      <alignment horizontal="center"/>
    </xf>
    <xf numFmtId="8" fontId="9" fillId="3" borderId="7" xfId="0" applyNumberFormat="1" applyFont="1" applyFill="1" applyBorder="1" applyAlignment="1">
      <alignment horizontal="center"/>
    </xf>
    <xf numFmtId="8" fontId="9" fillId="3" borderId="10" xfId="0" applyNumberFormat="1" applyFont="1" applyFill="1" applyBorder="1" applyAlignment="1">
      <alignment horizontal="center"/>
    </xf>
    <xf numFmtId="164" fontId="8" fillId="0" borderId="14" xfId="0" applyNumberFormat="1" applyFont="1" applyBorder="1" applyAlignment="1">
      <alignment horizontal="center"/>
    </xf>
    <xf numFmtId="0" fontId="2" fillId="2" borderId="11" xfId="0" applyFont="1" applyFill="1" applyBorder="1" applyAlignment="1">
      <alignment horizontal="left" vertical="center"/>
    </xf>
    <xf numFmtId="0" fontId="7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left" vertical="center"/>
    </xf>
    <xf numFmtId="0" fontId="10" fillId="3" borderId="15" xfId="0" applyFont="1" applyFill="1" applyBorder="1" applyAlignment="1">
      <alignment horizontal="left"/>
    </xf>
    <xf numFmtId="0" fontId="10" fillId="3" borderId="16" xfId="0" applyFont="1" applyFill="1" applyBorder="1" applyAlignment="1">
      <alignment horizontal="left"/>
    </xf>
    <xf numFmtId="0" fontId="10" fillId="3" borderId="5" xfId="0" applyFont="1" applyFill="1" applyBorder="1" applyAlignment="1">
      <alignment horizontal="left"/>
    </xf>
    <xf numFmtId="0" fontId="10" fillId="3" borderId="6" xfId="0" applyFont="1" applyFill="1" applyBorder="1" applyAlignment="1">
      <alignment horizontal="left"/>
    </xf>
    <xf numFmtId="0" fontId="10" fillId="3" borderId="8" xfId="0" applyFont="1" applyFill="1" applyBorder="1" applyAlignment="1">
      <alignment horizontal="left"/>
    </xf>
    <xf numFmtId="0" fontId="10" fillId="3" borderId="9" xfId="0" applyFont="1" applyFill="1" applyBorder="1" applyAlignment="1">
      <alignment horizontal="left"/>
    </xf>
    <xf numFmtId="0" fontId="11" fillId="3" borderId="5" xfId="0" applyFont="1" applyFill="1" applyBorder="1" applyAlignment="1">
      <alignment horizontal="left"/>
    </xf>
    <xf numFmtId="0" fontId="11" fillId="3" borderId="6" xfId="0" applyFont="1" applyFill="1" applyBorder="1" applyAlignment="1">
      <alignment horizontal="left"/>
    </xf>
    <xf numFmtId="0" fontId="11" fillId="3" borderId="8" xfId="0" applyFont="1" applyFill="1" applyBorder="1" applyAlignment="1">
      <alignment horizontal="left"/>
    </xf>
    <xf numFmtId="0" fontId="11" fillId="3" borderId="9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left" vertical="center"/>
    </xf>
    <xf numFmtId="164" fontId="8" fillId="3" borderId="10" xfId="0" applyNumberFormat="1" applyFont="1" applyFill="1" applyBorder="1" applyAlignment="1">
      <alignment horizontal="center"/>
    </xf>
    <xf numFmtId="0" fontId="10" fillId="3" borderId="2" xfId="0" applyFont="1" applyFill="1" applyBorder="1" applyAlignment="1">
      <alignment horizontal="left"/>
    </xf>
    <xf numFmtId="0" fontId="10" fillId="3" borderId="3" xfId="0" applyFont="1" applyFill="1" applyBorder="1" applyAlignment="1">
      <alignment horizontal="left"/>
    </xf>
    <xf numFmtId="0" fontId="0" fillId="3" borderId="0" xfId="0" applyFill="1"/>
    <xf numFmtId="0" fontId="3" fillId="0" borderId="0" xfId="0" applyFont="1" applyAlignment="1">
      <alignment horizontal="center"/>
    </xf>
    <xf numFmtId="9" fontId="8" fillId="0" borderId="0" xfId="0" applyNumberFormat="1" applyFont="1" applyAlignment="1">
      <alignment horizontal="center"/>
    </xf>
    <xf numFmtId="0" fontId="11" fillId="3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/>
    </xf>
    <xf numFmtId="0" fontId="0" fillId="6" borderId="0" xfId="0" applyFill="1"/>
    <xf numFmtId="164" fontId="0" fillId="6" borderId="0" xfId="0" applyNumberFormat="1" applyFill="1"/>
    <xf numFmtId="0" fontId="6" fillId="6" borderId="0" xfId="1" applyFont="1" applyFill="1" applyAlignment="1">
      <alignment vertical="center"/>
    </xf>
    <xf numFmtId="0" fontId="6" fillId="6" borderId="0" xfId="1" applyFont="1" applyFill="1" applyAlignment="1">
      <alignment horizontal="center" vertical="center"/>
    </xf>
    <xf numFmtId="0" fontId="1" fillId="6" borderId="0" xfId="1" applyFont="1" applyFill="1" applyAlignment="1">
      <alignment vertical="center"/>
    </xf>
    <xf numFmtId="0" fontId="13" fillId="5" borderId="11" xfId="0" applyFont="1" applyFill="1" applyBorder="1" applyAlignment="1">
      <alignment horizontal="left" vertical="center"/>
    </xf>
    <xf numFmtId="0" fontId="13" fillId="5" borderId="12" xfId="0" applyFont="1" applyFill="1" applyBorder="1" applyAlignment="1">
      <alignment horizontal="left" vertical="center"/>
    </xf>
    <xf numFmtId="0" fontId="14" fillId="5" borderId="13" xfId="0" applyFont="1" applyFill="1" applyBorder="1" applyAlignment="1">
      <alignment vertical="center"/>
    </xf>
    <xf numFmtId="0" fontId="0" fillId="7" borderId="2" xfId="0" applyFill="1" applyBorder="1"/>
    <xf numFmtId="0" fontId="0" fillId="7" borderId="3" xfId="0" applyFill="1" applyBorder="1"/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0" borderId="6" xfId="0" applyBorder="1"/>
    <xf numFmtId="0" fontId="3" fillId="0" borderId="6" xfId="0" applyFont="1" applyBorder="1" applyAlignment="1">
      <alignment horizontal="center"/>
    </xf>
    <xf numFmtId="0" fontId="0" fillId="0" borderId="9" xfId="0" applyBorder="1"/>
    <xf numFmtId="0" fontId="3" fillId="0" borderId="9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3" fillId="0" borderId="16" xfId="0" applyFont="1" applyBorder="1" applyAlignment="1">
      <alignment horizontal="center"/>
    </xf>
    <xf numFmtId="9" fontId="8" fillId="0" borderId="10" xfId="0" applyNumberFormat="1" applyFont="1" applyBorder="1" applyAlignment="1">
      <alignment horizontal="center"/>
    </xf>
    <xf numFmtId="9" fontId="0" fillId="0" borderId="14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</cellXfs>
  <cellStyles count="2">
    <cellStyle name="40% - Ênfase1" xfId="1" builtinId="31"/>
    <cellStyle name="Normal" xfId="0" builtinId="0"/>
  </cellStyles>
  <dxfs count="0"/>
  <tableStyles count="0" defaultTableStyle="TableStyleMedium9" defaultPivotStyle="PivotStyleLight16"/>
  <colors>
    <mruColors>
      <color rgb="FFF2C4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autoTitleDeleted val="1"/>
    <c:plotArea>
      <c:layout/>
      <c:doughnutChart>
        <c:varyColors val="1"/>
        <c:ser>
          <c:idx val="0"/>
          <c:order val="0"/>
          <c:tx>
            <c:strRef>
              <c:f>INVESTIMENTOS!$C$38</c:f>
              <c:strCache>
                <c:ptCount val="1"/>
                <c:pt idx="0">
                  <c:v>Percentual Sugerido</c:v>
                </c:pt>
              </c:strCache>
            </c:strRef>
          </c:tx>
          <c:cat>
            <c:strRef>
              <c:f>INVESTIMENTOS!$B$39:$B$44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INVESTIMENTOS!$C$39:$C$44</c:f>
              <c:numCache>
                <c:formatCode>0%</c:formatCode>
                <c:ptCount val="6"/>
                <c:pt idx="0">
                  <c:v>0.6</c:v>
                </c:pt>
                <c:pt idx="1">
                  <c:v>0.2</c:v>
                </c:pt>
                <c:pt idx="2">
                  <c:v>0.05</c:v>
                </c:pt>
                <c:pt idx="3">
                  <c:v>0</c:v>
                </c:pt>
                <c:pt idx="4">
                  <c:v>0.1</c:v>
                </c:pt>
                <c:pt idx="5">
                  <c:v>0.05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</c:legend>
    <c:plotVisOnly val="1"/>
  </c:chart>
  <c:spPr>
    <a:noFill/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123825</xdr:rowOff>
    </xdr:from>
    <xdr:to>
      <xdr:col>4</xdr:col>
      <xdr:colOff>581025</xdr:colOff>
      <xdr:row>12</xdr:row>
      <xdr:rowOff>57150</xdr:rowOff>
    </xdr:to>
    <xdr:pic>
      <xdr:nvPicPr>
        <xdr:cNvPr id="5" name="Imagem 4" descr="4c3c8521-4478-4b55-b9b8-ec8e433e88cb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123825"/>
          <a:ext cx="5467350" cy="22193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45</xdr:row>
      <xdr:rowOff>66675</xdr:rowOff>
    </xdr:from>
    <xdr:to>
      <xdr:col>3</xdr:col>
      <xdr:colOff>600075</xdr:colOff>
      <xdr:row>59</xdr:row>
      <xdr:rowOff>142875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3:E45"/>
  <sheetViews>
    <sheetView showGridLines="0" showRowColHeaders="0" tabSelected="1" topLeftCell="A31" workbookViewId="0">
      <selection activeCell="C35" sqref="C35"/>
    </sheetView>
  </sheetViews>
  <sheetFormatPr defaultColWidth="0" defaultRowHeight="15"/>
  <cols>
    <col min="1" max="1" width="9.140625" customWidth="1"/>
    <col min="2" max="2" width="33.42578125" customWidth="1"/>
    <col min="3" max="3" width="26.140625" bestFit="1" customWidth="1"/>
    <col min="4" max="4" width="13.7109375" bestFit="1" customWidth="1"/>
    <col min="5" max="5" width="10.7109375" bestFit="1" customWidth="1"/>
    <col min="6" max="9" width="3.28515625" customWidth="1"/>
    <col min="10" max="16384" width="9.140625" hidden="1"/>
  </cols>
  <sheetData>
    <row r="13" spans="2:4" ht="16.5" customHeight="1" thickBot="1"/>
    <row r="14" spans="2:4" ht="33.75" customHeight="1" thickTop="1" thickBot="1">
      <c r="B14" s="54" t="s">
        <v>13</v>
      </c>
      <c r="C14" s="55"/>
      <c r="D14" s="56"/>
    </row>
    <row r="15" spans="2:4" ht="16.5" thickTop="1">
      <c r="B15" s="27" t="s">
        <v>15</v>
      </c>
      <c r="C15" s="28"/>
      <c r="D15" s="23">
        <v>5000</v>
      </c>
    </row>
    <row r="16" spans="2:4" ht="15.75">
      <c r="B16" s="29" t="s">
        <v>14</v>
      </c>
      <c r="C16" s="30"/>
      <c r="D16" s="16">
        <v>6.0000000000000001E-3</v>
      </c>
    </row>
    <row r="17" spans="1:5" ht="16.5" thickBot="1">
      <c r="B17" s="31" t="s">
        <v>33</v>
      </c>
      <c r="C17" s="32"/>
      <c r="D17" s="38">
        <f>D15*30%</f>
        <v>1500</v>
      </c>
    </row>
    <row r="18" spans="1:5" ht="16.5" thickTop="1" thickBot="1"/>
    <row r="19" spans="1:5" ht="33" customHeight="1" thickTop="1" thickBot="1">
      <c r="B19" s="24" t="s">
        <v>5</v>
      </c>
      <c r="C19" s="37"/>
      <c r="D19" s="17"/>
    </row>
    <row r="20" spans="1:5" ht="16.5" thickTop="1">
      <c r="B20" s="39" t="s">
        <v>0</v>
      </c>
      <c r="C20" s="40"/>
      <c r="D20" s="18">
        <v>1500</v>
      </c>
    </row>
    <row r="21" spans="1:5" ht="15.75">
      <c r="B21" s="29" t="s">
        <v>1</v>
      </c>
      <c r="C21" s="30"/>
      <c r="D21" s="19">
        <v>5</v>
      </c>
    </row>
    <row r="22" spans="1:5" ht="15.75">
      <c r="B22" s="29" t="s">
        <v>2</v>
      </c>
      <c r="C22" s="30"/>
      <c r="D22" s="20">
        <v>1.0789999999999999E-2</v>
      </c>
    </row>
    <row r="23" spans="1:5" ht="15.75">
      <c r="B23" s="33" t="s">
        <v>3</v>
      </c>
      <c r="C23" s="34"/>
      <c r="D23" s="21">
        <f>FV(taxaMensal,qtdAnos*12,aporte*-1)</f>
        <v>125665.37099773147</v>
      </c>
      <c r="E23" s="5"/>
    </row>
    <row r="24" spans="1:5" ht="16.5" thickBot="1">
      <c r="B24" s="35" t="s">
        <v>4</v>
      </c>
      <c r="C24" s="36"/>
      <c r="D24" s="22">
        <f>patrimonio*Rendimento</f>
        <v>753.9922259863888</v>
      </c>
    </row>
    <row r="25" spans="1:5" ht="16.5" thickTop="1" thickBot="1"/>
    <row r="26" spans="1:5" ht="33" customHeight="1" thickTop="1" thickBot="1">
      <c r="B26" s="24" t="s">
        <v>11</v>
      </c>
      <c r="C26" s="26"/>
      <c r="D26" s="25" t="s">
        <v>12</v>
      </c>
    </row>
    <row r="27" spans="1:5" ht="16.5" thickTop="1">
      <c r="A27" s="2">
        <v>3</v>
      </c>
      <c r="B27" s="13" t="s">
        <v>6</v>
      </c>
      <c r="C27" s="7">
        <f>FV($D$22,$A27*12,$D$20*-1)</f>
        <v>65562.561034533166</v>
      </c>
      <c r="D27" s="8">
        <f>C27*Rendimento</f>
        <v>393.37536620719902</v>
      </c>
    </row>
    <row r="28" spans="1:5" ht="15.75">
      <c r="A28" s="2">
        <v>7</v>
      </c>
      <c r="B28" s="14" t="s">
        <v>7</v>
      </c>
      <c r="C28" s="9">
        <f>FV($D$22,$A28*12,$D$20*-1)</f>
        <v>203425.55101140458</v>
      </c>
      <c r="D28" s="10">
        <f>C28*Rendimento</f>
        <v>1220.5533060684274</v>
      </c>
      <c r="E28" s="1"/>
    </row>
    <row r="29" spans="1:5" ht="15.75">
      <c r="A29" s="2">
        <v>15</v>
      </c>
      <c r="B29" s="14" t="s">
        <v>8</v>
      </c>
      <c r="C29" s="9">
        <f>FV($D$22,$A29*12,$D$20*-1)</f>
        <v>820467.89470008132</v>
      </c>
      <c r="D29" s="10">
        <f>C29*Rendimento</f>
        <v>4922.8073682004879</v>
      </c>
    </row>
    <row r="30" spans="1:5" ht="15.75">
      <c r="A30" s="2">
        <v>25</v>
      </c>
      <c r="B30" s="14" t="s">
        <v>9</v>
      </c>
      <c r="C30" s="9">
        <f>FV($D$22,$A30*12,$D$20*-1)</f>
        <v>3339152.5098573482</v>
      </c>
      <c r="D30" s="10">
        <f>C30*Rendimento</f>
        <v>20034.915059144088</v>
      </c>
    </row>
    <row r="31" spans="1:5" ht="16.5" thickBot="1">
      <c r="A31" s="2">
        <v>30</v>
      </c>
      <c r="B31" s="15" t="s">
        <v>10</v>
      </c>
      <c r="C31" s="11">
        <f>FV($D$22,$A31*12,$D$20*-1)</f>
        <v>6483254.4825070715</v>
      </c>
      <c r="D31" s="12">
        <f>C31*Rendimento</f>
        <v>38899.526895042429</v>
      </c>
    </row>
    <row r="32" spans="1:5" ht="15.75" thickTop="1"/>
    <row r="35" spans="2:4" s="45" customFormat="1" ht="24" customHeight="1">
      <c r="B35" s="51" t="s">
        <v>16</v>
      </c>
      <c r="C35" s="52" t="s">
        <v>17</v>
      </c>
      <c r="D35" s="53"/>
    </row>
    <row r="36" spans="2:4" ht="18.75" customHeight="1">
      <c r="B36" s="44" t="s">
        <v>20</v>
      </c>
      <c r="C36" s="47">
        <f>aporte</f>
        <v>1500</v>
      </c>
      <c r="D36" s="41"/>
    </row>
    <row r="38" spans="2:4">
      <c r="B38" s="48" t="s">
        <v>21</v>
      </c>
      <c r="C38" s="48" t="s">
        <v>22</v>
      </c>
      <c r="D38" s="48" t="s">
        <v>23</v>
      </c>
    </row>
    <row r="39" spans="2:4">
      <c r="B39" s="42" t="s">
        <v>24</v>
      </c>
      <c r="C39" s="43">
        <f>VLOOKUP($C$35&amp;"-"&amp;B39,INVESTIMENTOS_APOIO!$A:$D,4,0)</f>
        <v>0.6</v>
      </c>
      <c r="D39" s="46">
        <f>C39*$C$36</f>
        <v>900</v>
      </c>
    </row>
    <row r="40" spans="2:4">
      <c r="B40" s="42" t="s">
        <v>25</v>
      </c>
      <c r="C40" s="43">
        <f>VLOOKUP($C$35&amp;"-"&amp;B40,INVESTIMENTOS_APOIO!$A:$D,4,0)</f>
        <v>0.2</v>
      </c>
      <c r="D40" s="46">
        <f t="shared" ref="D40:D44" si="0">C40*$C$36</f>
        <v>300</v>
      </c>
    </row>
    <row r="41" spans="2:4">
      <c r="B41" s="42" t="s">
        <v>26</v>
      </c>
      <c r="C41" s="43">
        <f>VLOOKUP($C$35&amp;"-"&amp;B41,INVESTIMENTOS_APOIO!$A:$D,4,0)</f>
        <v>0.05</v>
      </c>
      <c r="D41" s="46">
        <f t="shared" si="0"/>
        <v>75</v>
      </c>
    </row>
    <row r="42" spans="2:4">
      <c r="B42" s="42" t="s">
        <v>27</v>
      </c>
      <c r="C42" s="43">
        <f>VLOOKUP($C$35&amp;"-"&amp;B42,INVESTIMENTOS_APOIO!$A:$D,4,0)</f>
        <v>0</v>
      </c>
      <c r="D42" s="46">
        <f t="shared" si="0"/>
        <v>0</v>
      </c>
    </row>
    <row r="43" spans="2:4">
      <c r="B43" s="42" t="s">
        <v>28</v>
      </c>
      <c r="C43" s="43">
        <f>VLOOKUP($C$35&amp;"-"&amp;B43,INVESTIMENTOS_APOIO!$A:$D,4,0)</f>
        <v>0.1</v>
      </c>
      <c r="D43" s="46">
        <f t="shared" si="0"/>
        <v>150</v>
      </c>
    </row>
    <row r="44" spans="2:4">
      <c r="B44" s="42" t="s">
        <v>29</v>
      </c>
      <c r="C44" s="43">
        <f>VLOOKUP($C$35&amp;"-"&amp;B44,INVESTIMENTOS_APOIO!$A:$D,4,0)</f>
        <v>0.05</v>
      </c>
      <c r="D44" s="47">
        <f t="shared" si="0"/>
        <v>75</v>
      </c>
    </row>
    <row r="45" spans="2:4">
      <c r="B45" s="49"/>
      <c r="C45" s="49"/>
      <c r="D45" s="50">
        <f>SUM(D39:D44)</f>
        <v>1500</v>
      </c>
    </row>
  </sheetData>
  <mergeCells count="11">
    <mergeCell ref="B24:C24"/>
    <mergeCell ref="B15:C15"/>
    <mergeCell ref="B16:C16"/>
    <mergeCell ref="B17:C17"/>
    <mergeCell ref="B14:C14"/>
    <mergeCell ref="B26:C26"/>
    <mergeCell ref="B19:C19"/>
    <mergeCell ref="B20:C20"/>
    <mergeCell ref="B21:C21"/>
    <mergeCell ref="B22:C22"/>
    <mergeCell ref="B23:C23"/>
  </mergeCells>
  <dataValidations count="1">
    <dataValidation type="list" allowBlank="1" showInputMessage="1" showErrorMessage="1" sqref="C35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showGridLines="0" workbookViewId="0">
      <selection activeCell="D8" sqref="D8"/>
    </sheetView>
  </sheetViews>
  <sheetFormatPr defaultRowHeight="15"/>
  <cols>
    <col min="1" max="1" width="29.140625" bestFit="1" customWidth="1"/>
    <col min="2" max="2" width="12.140625" bestFit="1" customWidth="1"/>
    <col min="3" max="3" width="15.85546875" bestFit="1" customWidth="1"/>
    <col min="5" max="5" width="9.140625" customWidth="1"/>
    <col min="7" max="7" width="16.140625" bestFit="1" customWidth="1"/>
  </cols>
  <sheetData>
    <row r="1" spans="1:4" ht="15.75" thickBot="1"/>
    <row r="2" spans="1:4" ht="15.75" thickTop="1">
      <c r="A2" s="57" t="s">
        <v>32</v>
      </c>
      <c r="B2" s="58" t="s">
        <v>16</v>
      </c>
      <c r="C2" s="59" t="s">
        <v>30</v>
      </c>
      <c r="D2" s="60" t="s">
        <v>31</v>
      </c>
    </row>
    <row r="3" spans="1:4">
      <c r="A3" s="3" t="str">
        <f>$B$3&amp;"-"&amp;C3</f>
        <v>Conservador-Papel</v>
      </c>
      <c r="B3" s="61" t="s">
        <v>18</v>
      </c>
      <c r="C3" s="62" t="s">
        <v>24</v>
      </c>
      <c r="D3" s="16">
        <v>0.35</v>
      </c>
    </row>
    <row r="4" spans="1:4">
      <c r="A4" s="3" t="str">
        <f>$B$3&amp;"-"&amp;C4</f>
        <v>Conservador-Tijolo</v>
      </c>
      <c r="B4" s="61" t="s">
        <v>18</v>
      </c>
      <c r="C4" s="62" t="s">
        <v>25</v>
      </c>
      <c r="D4" s="16">
        <v>0.35</v>
      </c>
    </row>
    <row r="5" spans="1:4">
      <c r="A5" s="3" t="str">
        <f>$B$3&amp;"-"&amp;C5</f>
        <v>Conservador-Híbridos</v>
      </c>
      <c r="B5" s="61" t="s">
        <v>18</v>
      </c>
      <c r="C5" s="62" t="s">
        <v>26</v>
      </c>
      <c r="D5" s="16">
        <v>0.1</v>
      </c>
    </row>
    <row r="6" spans="1:4">
      <c r="A6" s="3" t="str">
        <f>$B$3&amp;"-"&amp;C6</f>
        <v>Conservador-FOFs</v>
      </c>
      <c r="B6" s="61" t="s">
        <v>18</v>
      </c>
      <c r="C6" s="62" t="s">
        <v>27</v>
      </c>
      <c r="D6" s="16">
        <v>0.05</v>
      </c>
    </row>
    <row r="7" spans="1:4">
      <c r="A7" s="3" t="str">
        <f>$B$3&amp;"-"&amp;C7</f>
        <v>Conservador-Desenvolvimento</v>
      </c>
      <c r="B7" s="61" t="s">
        <v>18</v>
      </c>
      <c r="C7" s="62" t="s">
        <v>28</v>
      </c>
      <c r="D7" s="16">
        <v>0.1</v>
      </c>
    </row>
    <row r="8" spans="1:4" ht="15.75" thickBot="1">
      <c r="A8" s="4" t="str">
        <f>$B$3&amp;"-"&amp;C8</f>
        <v>Conservador-Hotelarias</v>
      </c>
      <c r="B8" s="63" t="s">
        <v>18</v>
      </c>
      <c r="C8" s="64" t="s">
        <v>29</v>
      </c>
      <c r="D8" s="68">
        <v>0.05</v>
      </c>
    </row>
    <row r="9" spans="1:4" ht="15.75" thickTop="1">
      <c r="A9" s="65" t="str">
        <f>$B$9&amp;"-"&amp;C9</f>
        <v>Moderado-Papel</v>
      </c>
      <c r="B9" s="66" t="s">
        <v>19</v>
      </c>
      <c r="C9" s="67" t="s">
        <v>24</v>
      </c>
      <c r="D9" s="69">
        <v>0.4</v>
      </c>
    </row>
    <row r="10" spans="1:4">
      <c r="A10" s="3" t="str">
        <f>$B$9&amp;"-"&amp;C10</f>
        <v>Moderado-Tijolo</v>
      </c>
      <c r="B10" s="61" t="s">
        <v>19</v>
      </c>
      <c r="C10" s="62" t="s">
        <v>25</v>
      </c>
      <c r="D10" s="6">
        <v>0.3</v>
      </c>
    </row>
    <row r="11" spans="1:4">
      <c r="A11" s="3" t="str">
        <f>$B$9&amp;"-"&amp;C11</f>
        <v>Moderado-Híbridos</v>
      </c>
      <c r="B11" s="61" t="s">
        <v>19</v>
      </c>
      <c r="C11" s="62" t="s">
        <v>26</v>
      </c>
      <c r="D11" s="6">
        <v>0.05</v>
      </c>
    </row>
    <row r="12" spans="1:4">
      <c r="A12" s="3" t="str">
        <f>$B$9&amp;"-"&amp;C12</f>
        <v>Moderado-FOFs</v>
      </c>
      <c r="B12" s="61" t="s">
        <v>19</v>
      </c>
      <c r="C12" s="62" t="s">
        <v>27</v>
      </c>
      <c r="D12" s="6">
        <v>0.1</v>
      </c>
    </row>
    <row r="13" spans="1:4">
      <c r="A13" s="3" t="str">
        <f>$B$9&amp;"-"&amp;C13</f>
        <v>Moderado-Desenvolvimento</v>
      </c>
      <c r="B13" s="61" t="s">
        <v>19</v>
      </c>
      <c r="C13" s="62" t="s">
        <v>28</v>
      </c>
      <c r="D13" s="6">
        <v>0.1</v>
      </c>
    </row>
    <row r="14" spans="1:4" ht="15.75" thickBot="1">
      <c r="A14" s="4" t="str">
        <f>$B$9&amp;"-"&amp;C14</f>
        <v>Moderado-Hotelarias</v>
      </c>
      <c r="B14" s="63" t="s">
        <v>19</v>
      </c>
      <c r="C14" s="64" t="s">
        <v>29</v>
      </c>
      <c r="D14" s="70">
        <v>0.05</v>
      </c>
    </row>
    <row r="15" spans="1:4" ht="15.75" thickTop="1">
      <c r="A15" s="65" t="str">
        <f>$B$15&amp;"-"&amp;C15</f>
        <v>Agressivo-Papel</v>
      </c>
      <c r="B15" s="66" t="s">
        <v>17</v>
      </c>
      <c r="C15" s="67" t="s">
        <v>24</v>
      </c>
      <c r="D15" s="69">
        <v>0.6</v>
      </c>
    </row>
    <row r="16" spans="1:4">
      <c r="A16" s="3" t="str">
        <f>$B$15&amp;"-"&amp;C16</f>
        <v>Agressivo-Tijolo</v>
      </c>
      <c r="B16" s="61" t="s">
        <v>17</v>
      </c>
      <c r="C16" s="62" t="s">
        <v>25</v>
      </c>
      <c r="D16" s="6">
        <v>0.2</v>
      </c>
    </row>
    <row r="17" spans="1:4">
      <c r="A17" s="3" t="str">
        <f>$B$15&amp;"-"&amp;C17</f>
        <v>Agressivo-Híbridos</v>
      </c>
      <c r="B17" s="61" t="s">
        <v>17</v>
      </c>
      <c r="C17" s="62" t="s">
        <v>26</v>
      </c>
      <c r="D17" s="6">
        <v>0.05</v>
      </c>
    </row>
    <row r="18" spans="1:4">
      <c r="A18" s="3" t="str">
        <f>$B$15&amp;"-"&amp;C18</f>
        <v>Agressivo-FOFs</v>
      </c>
      <c r="B18" s="61" t="s">
        <v>17</v>
      </c>
      <c r="C18" s="62" t="s">
        <v>27</v>
      </c>
      <c r="D18" s="6">
        <v>0</v>
      </c>
    </row>
    <row r="19" spans="1:4">
      <c r="A19" s="3" t="str">
        <f>$B$15&amp;"-"&amp;C19</f>
        <v>Agressivo-Desenvolvimento</v>
      </c>
      <c r="B19" s="61" t="s">
        <v>17</v>
      </c>
      <c r="C19" s="62" t="s">
        <v>28</v>
      </c>
      <c r="D19" s="6">
        <v>0.1</v>
      </c>
    </row>
    <row r="20" spans="1:4" ht="15.75" thickBot="1">
      <c r="A20" s="4" t="str">
        <f>$B$15&amp;"-"&amp;C20</f>
        <v>Agressivo-Hotelarias</v>
      </c>
      <c r="B20" s="63" t="s">
        <v>17</v>
      </c>
      <c r="C20" s="64" t="s">
        <v>29</v>
      </c>
      <c r="D20" s="70">
        <v>0.05</v>
      </c>
    </row>
    <row r="21" spans="1:4" ht="15.75" thickTop="1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INVESTIMENTOS</vt:lpstr>
      <vt:lpstr>INVESTIMENTOS_APOIO</vt:lpstr>
      <vt:lpstr>aporte</vt:lpstr>
      <vt:lpstr>patrimonio</vt:lpstr>
      <vt:lpstr>qtdAnos</vt:lpstr>
      <vt:lpstr>Rendimento</vt:lpstr>
      <vt:lpstr>salario</vt:lpstr>
      <vt:lpstr>sugestaoInvest</vt:lpstr>
      <vt:lpstr>taxaMensal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2026-10-21T03:05:22Z</dcterms:created>
  <dcterms:modified xsi:type="dcterms:W3CDTF">2026-10-21T18:21:27Z</dcterms:modified>
</cp:coreProperties>
</file>